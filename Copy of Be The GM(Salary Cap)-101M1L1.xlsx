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<sst xmlns="http://schemas.openxmlformats.org/spreadsheetml/2006/main" count="23" uniqueCount="20">
  <si>
    <t>🏀 Be the GM — Salary Cap Challenge (Track 101 · Lesson 1 · Module 1)</t>
  </si>
  <si>
    <t>Goal: Keep 2 ⭐ stars and stay under $136M. Use “Minimum Contracts” if needed — must have 8+ players.</t>
  </si>
  <si>
    <t>Player</t>
  </si>
  <si>
    <t>Salary(M)</t>
  </si>
  <si>
    <t>⚙️ “Include?”</t>
  </si>
  <si>
    <t>Notes</t>
  </si>
  <si>
    <t>⭐ Star Player A</t>
  </si>
  <si>
    <t>⭐ Star Player B</t>
  </si>
  <si>
    <t>Role Player C</t>
  </si>
  <si>
    <t>Role Player D</t>
  </si>
  <si>
    <t>Role Player E</t>
  </si>
  <si>
    <t>Role Player F</t>
  </si>
  <si>
    <t>Role Player G</t>
  </si>
  <si>
    <t>Role Player H</t>
  </si>
  <si>
    <t>Cap (M)</t>
  </si>
  <si>
    <t>Total(M)</t>
  </si>
  <si>
    <t>Status</t>
  </si>
  <si>
    <t>Minimum Contract</t>
  </si>
  <si>
    <t>Players Selected</t>
  </si>
  <si>
    <t>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</si>
</sst>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sz val="16.0"/>
      <color rgb="FF000000"/>
      <name val="Poppins"/>
    </font>
    <font>
      <sz val="16.0"/>
      <color theme="1"/>
      <name val="Bebas Neue"/>
    </font>
    <font>
      <color theme="1"/>
      <name val="Arial"/>
      <scheme val="minor"/>
    </font>
    <font>
      <sz val="12.0"/>
      <color rgb="FF0000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0EDFF"/>
        <bgColor rgb="FFE0EDFF"/>
      </patternFill>
    </fill>
    <fill>
      <patternFill patternType="solid">
        <fgColor rgb="FFF2F2F2"/>
        <bgColor rgb="FFF2F2F2"/>
      </patternFill>
    </fill>
    <fill>
      <patternFill patternType="solid">
        <fgColor rgb="FFFFFAF0"/>
        <bgColor rgb="FFFFFAF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4" fontId="5" numFmtId="0" xfId="0" applyAlignment="1" applyFill="1" applyFont="1">
      <alignment readingOrder="0"/>
    </xf>
    <xf borderId="0" fillId="4" fontId="3" numFmtId="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4" xfId="0" applyFont="1" applyNumberFormat="1"/>
    <xf borderId="0" fillId="0" fontId="3" numFmtId="164" xfId="0" applyFont="1" applyNumberFormat="1"/>
    <xf borderId="0" fillId="5" fontId="3" numFmtId="0" xfId="0" applyAlignment="1" applyFill="1" applyFont="1">
      <alignment readingOrder="0"/>
    </xf>
    <xf borderId="0" fillId="5" fontId="3" numFmtId="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63"/>
    <col customWidth="1" min="2" max="2" width="28.3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3" t="s">
        <v>4</v>
      </c>
      <c r="D3" s="3" t="s">
        <v>5</v>
      </c>
      <c r="E3" s="5">
        <f>IFERROR(__xludf.DUMMYFUNCTION("IF(B3="""",,VALUE(REGEXREPLACE(B3,""[^0-9\.]"","""")))"),0.0)</f>
        <v>0</v>
      </c>
    </row>
    <row r="4">
      <c r="A4" s="6" t="s">
        <v>6</v>
      </c>
      <c r="B4" s="7">
        <v>45.0</v>
      </c>
      <c r="C4" s="3" t="b">
        <v>0</v>
      </c>
    </row>
    <row r="5">
      <c r="A5" s="6" t="s">
        <v>7</v>
      </c>
      <c r="B5" s="8">
        <v>38.0</v>
      </c>
      <c r="C5" s="3" t="b">
        <v>0</v>
      </c>
    </row>
    <row r="6">
      <c r="A6" s="6" t="s">
        <v>8</v>
      </c>
      <c r="B6" s="8">
        <v>27.0</v>
      </c>
      <c r="C6" s="3" t="b">
        <v>0</v>
      </c>
    </row>
    <row r="7">
      <c r="A7" s="6" t="s">
        <v>9</v>
      </c>
      <c r="B7" s="8">
        <v>18.0</v>
      </c>
      <c r="C7" s="3" t="b">
        <v>0</v>
      </c>
    </row>
    <row r="8">
      <c r="A8" s="6" t="s">
        <v>10</v>
      </c>
      <c r="B8" s="8">
        <v>12.0</v>
      </c>
      <c r="C8" s="3" t="b">
        <v>0</v>
      </c>
    </row>
    <row r="9">
      <c r="A9" s="6" t="s">
        <v>11</v>
      </c>
      <c r="B9" s="8">
        <v>8.0</v>
      </c>
      <c r="C9" s="3" t="b">
        <v>0</v>
      </c>
    </row>
    <row r="10">
      <c r="A10" s="6" t="s">
        <v>12</v>
      </c>
      <c r="B10" s="8">
        <v>5.0</v>
      </c>
      <c r="C10" s="3" t="b">
        <v>0</v>
      </c>
    </row>
    <row r="11">
      <c r="A11" s="6" t="s">
        <v>13</v>
      </c>
      <c r="B11" s="8">
        <v>3.0</v>
      </c>
      <c r="C11" s="3" t="b">
        <v>0</v>
      </c>
    </row>
    <row r="12">
      <c r="B12" s="9"/>
    </row>
    <row r="13">
      <c r="A13" s="10" t="s">
        <v>14</v>
      </c>
      <c r="B13" s="11">
        <v>136.0</v>
      </c>
    </row>
    <row r="14">
      <c r="A14" s="12" t="s">
        <v>15</v>
      </c>
      <c r="B14" s="13">
        <f>SUMIF(C4:C22, TRUE, B4:B22)</f>
        <v>0</v>
      </c>
    </row>
    <row r="15">
      <c r="A15" s="12" t="s">
        <v>16</v>
      </c>
      <c r="B15" s="14" t="str">
        <f>IF(AND(B13&gt;=B14, COUNTIF(A3:A21,"⭐*")=COUNTIFS(A3:A21,"⭐*",C3:C21,TRUE), B22&gt;=8),"YES","NO")
</f>
        <v>NO</v>
      </c>
    </row>
    <row r="16">
      <c r="B16" s="14"/>
    </row>
    <row r="17">
      <c r="B17" s="14"/>
    </row>
    <row r="18">
      <c r="A18" s="15" t="s">
        <v>17</v>
      </c>
      <c r="B18" s="16">
        <v>2.0</v>
      </c>
      <c r="C18" s="3" t="b">
        <v>0</v>
      </c>
    </row>
    <row r="19">
      <c r="A19" s="15" t="s">
        <v>17</v>
      </c>
      <c r="B19" s="16">
        <v>2.0</v>
      </c>
      <c r="C19" s="3" t="b">
        <v>0</v>
      </c>
    </row>
    <row r="20">
      <c r="A20" s="15" t="s">
        <v>17</v>
      </c>
      <c r="B20" s="16">
        <v>2.0</v>
      </c>
      <c r="C20" s="3" t="b">
        <v>0</v>
      </c>
    </row>
    <row r="21">
      <c r="A21" s="15" t="s">
        <v>17</v>
      </c>
      <c r="B21" s="16">
        <v>2.0</v>
      </c>
      <c r="C21" s="3" t="b">
        <v>0</v>
      </c>
    </row>
    <row r="22">
      <c r="A22" s="3" t="s">
        <v>18</v>
      </c>
      <c r="B22" s="5">
        <f>COUNTIF(C3:C21, TRUE)</f>
        <v>0</v>
      </c>
    </row>
    <row r="24">
      <c r="A24" s="5" t="str">
        <f>IF(B15="YES","Claim Code: L1-101-M1-67","")</f>
        <v/>
      </c>
    </row>
    <row r="25">
      <c r="A25" s="3"/>
    </row>
    <row r="30">
      <c r="A30" s="3" t="s">
        <v>19</v>
      </c>
    </row>
  </sheetData>
  <mergeCells count="2">
    <mergeCell ref="A1:J1"/>
    <mergeCell ref="A2:J2"/>
  </mergeCells>
  <conditionalFormatting sqref="B15">
    <cfRule type="containsText" dxfId="0" priority="1" operator="containsText" text="YES">
      <formula>NOT(ISERROR(SEARCH(("YES"),(B15))))</formula>
    </cfRule>
  </conditionalFormatting>
  <conditionalFormatting sqref="B15">
    <cfRule type="containsText" dxfId="1" priority="2" operator="containsText" text="NO">
      <formula>NOT(ISERROR(SEARCH(("NO"),(B15))))</formula>
    </cfRule>
  </conditionalFormatting>
  <conditionalFormatting sqref="C4:C21">
    <cfRule type="notContainsBlanks" dxfId="2" priority="3">
      <formula>LEN(TRIM(C4))&gt;0</formula>
    </cfRule>
  </conditionalFormatting>
  <drawing r:id="rId1"/>
</worksheet>
</file>